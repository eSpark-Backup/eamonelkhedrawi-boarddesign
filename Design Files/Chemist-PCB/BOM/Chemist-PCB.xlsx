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eamonelkhedrawi-boarddesign\Design Files\Chemist-PCB\BOM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<sst xmlns="http://schemas.openxmlformats.org/spreadsheetml/2006/main" count="66" uniqueCount="58">
  <si>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</si>
  <si>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</si>
  <si>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</si>
  <si>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</si>
  <si>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</si>
  <si>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</si>
  <si>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</si>
  <si>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</si>
  <si>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</si>
  <si>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</si>
  <si>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</si>
  <si>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C2, C3, C4</t>
  </si>
  <si>
    <t>CAP CER 10UF 50V X5R 0805</t>
  </si>
  <si>
    <t>Cap-0805</t>
  </si>
  <si>
    <t>GRM21BR61H106ME43L</t>
  </si>
  <si>
    <t>Murata</t>
  </si>
  <si>
    <t>10uF</t>
  </si>
  <si>
    <t>Screw terminal</t>
  </si>
  <si>
    <t>J1, J2, J3, J4</t>
  </si>
  <si>
    <t>1x3P 15A 300V Blue 14~22 Straight 5mm 1.5 1 3 Plugin,P=5mm Screw terminal ROHS</t>
  </si>
  <si>
    <t>Custom</t>
  </si>
  <si>
    <t>XY301V-A-5.0-3P</t>
  </si>
  <si>
    <t>Ningbo Xinlaiya Elec</t>
  </si>
  <si>
    <t>-</t>
  </si>
  <si>
    <t>D-Sub Connectors</t>
  </si>
  <si>
    <t>J5</t>
  </si>
  <si>
    <t>CONN D-SUB RCPT 9POS R/A SLDR</t>
  </si>
  <si>
    <t>Terminal Block</t>
  </si>
  <si>
    <t>J6</t>
  </si>
  <si>
    <t>250V 10A 8 Bend -40℃~+105℃ 1 3.81mm 1x8P Green Board Edge/Receptacle-Close Push-Pull,P=3.81mm Pluggable System Terminal Block ROHS</t>
  </si>
  <si>
    <t>DB2ERC-3.81-8P-GN</t>
  </si>
  <si>
    <t>DORABO</t>
  </si>
  <si>
    <t>Relays</t>
  </si>
  <si>
    <t>K1, K2, K3, K4</t>
  </si>
  <si>
    <t>250V@AC 5V 15A SPDT (1 Form C) Plugin,15.6x19.2mm Power Relays ROHS</t>
  </si>
  <si>
    <t>SRD-05VDC-SL-C</t>
  </si>
  <si>
    <t>Ningbo Songle Relay</t>
  </si>
  <si>
    <t>LEDs</t>
  </si>
  <si>
    <t>LED1, LED2, LED3, LED4</t>
  </si>
  <si>
    <t>LED RED CLEAR CHIP SMD</t>
  </si>
  <si>
    <t>LED-0603</t>
  </si>
  <si>
    <t>LTST-C193KRKT-5A</t>
  </si>
  <si>
    <t>Vishay Lite-On</t>
  </si>
  <si>
    <t>Resistor</t>
  </si>
  <si>
    <t>R3, R4, R5, R6</t>
  </si>
  <si>
    <t>RES SMD 220 OHM 1% 1/10W 0603</t>
  </si>
  <si>
    <t>Res-0603</t>
  </si>
  <si>
    <t>220R</t>
  </si>
  <si>
    <t>IC</t>
  </si>
  <si>
    <t>U1</t>
  </si>
  <si>
    <t>IC PWR RELAY 7NPN 1:1 16SOIC</t>
  </si>
  <si>
    <t>16-SOIC (0.154", 3.90mm Width)</t>
  </si>
  <si>
    <t>ULN2003AIDR</t>
  </si>
  <si>
    <t>Texas Instruments</t>
  </si>
  <si>
    <t>LX09-VGA09B-048</t>
  </si>
  <si>
    <t>Lian Xin Technology</t>
  </si>
  <si>
    <t>CRCW0603220RFKEA</t>
  </si>
  <si>
    <t xml:space="preserve">Vishay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</si>
</sst>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0"/>
      <color indexed="13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"/>
  <sheetViews>
    <sheetView tabSelected="1" workbookViewId="0">
      <selection activeCell="H9" sqref="H9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6" customWidth="1"/>
    <col min="5" max="5" width="30" customWidth="1"/>
    <col min="6" max="6" width="26.5703125" customWidth="1"/>
    <col min="7" max="7" width="33.42578125" customWidth="1"/>
    <col min="8" max="8" width="21.42578125" customWidth="1"/>
    <col min="9" max="9" width="17.85546875" customWidth="1"/>
    <col min="10" max="10" width="16.7109375" customWidth="1"/>
    <col min="11" max="11" width="29.42578125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4</v>
      </c>
      <c r="K3" s="9"/>
    </row>
    <row r="4" spans="1:11" ht="36">
      <c r="A4" s="2"/>
      <c r="B4" s="7">
        <f t="shared" ref="B4:B10" si="0">ROW(B4)-ROW($B$2)</f>
        <v>2</v>
      </c>
      <c r="C4" s="11" t="s">
        <v>17</v>
      </c>
      <c r="D4" s="12" t="s">
        <v>18</v>
      </c>
      <c r="E4" s="13" t="s">
        <v>19</v>
      </c>
      <c r="F4" s="12" t="s">
        <v>20</v>
      </c>
      <c r="G4" s="13" t="s">
        <v>21</v>
      </c>
      <c r="H4" s="12" t="s">
        <v>22</v>
      </c>
      <c r="I4" s="13" t="s">
        <v>23</v>
      </c>
      <c r="J4" s="12">
        <v>4</v>
      </c>
      <c r="K4" s="12"/>
    </row>
    <row r="5" spans="1:11">
      <c r="A5" s="2"/>
      <c r="B5" s="7">
        <f t="shared" si="0"/>
        <v>3</v>
      </c>
      <c r="C5" s="8" t="s">
        <v>24</v>
      </c>
      <c r="D5" s="9" t="s">
        <v>25</v>
      </c>
      <c r="E5" s="10" t="s">
        <v>26</v>
      </c>
      <c r="F5" s="9" t="s">
        <v>20</v>
      </c>
      <c r="G5" s="10" t="s">
        <v>54</v>
      </c>
      <c r="H5" s="9" t="s">
        <v>55</v>
      </c>
      <c r="I5" s="10" t="s">
        <v>23</v>
      </c>
      <c r="J5" s="9">
        <v>1</v>
      </c>
      <c r="K5" s="9"/>
    </row>
    <row r="6" spans="1:11" ht="60">
      <c r="A6" s="2"/>
      <c r="B6" s="7">
        <f t="shared" si="0"/>
        <v>4</v>
      </c>
      <c r="C6" s="11" t="s">
        <v>27</v>
      </c>
      <c r="D6" s="12" t="s">
        <v>28</v>
      </c>
      <c r="E6" s="13" t="s">
        <v>29</v>
      </c>
      <c r="F6" s="12" t="s">
        <v>20</v>
      </c>
      <c r="G6" s="13" t="s">
        <v>30</v>
      </c>
      <c r="H6" s="12" t="s">
        <v>31</v>
      </c>
      <c r="I6" s="13" t="s">
        <v>23</v>
      </c>
      <c r="J6" s="12">
        <v>1</v>
      </c>
      <c r="K6" s="12"/>
    </row>
    <row r="7" spans="1:11" ht="36">
      <c r="A7" s="2"/>
      <c r="B7" s="7">
        <f t="shared" si="0"/>
        <v>5</v>
      </c>
      <c r="C7" s="8" t="s">
        <v>32</v>
      </c>
      <c r="D7" s="9" t="s">
        <v>33</v>
      </c>
      <c r="E7" s="10" t="s">
        <v>34</v>
      </c>
      <c r="F7" s="9" t="s">
        <v>20</v>
      </c>
      <c r="G7" s="10" t="s">
        <v>35</v>
      </c>
      <c r="H7" s="9" t="s">
        <v>36</v>
      </c>
      <c r="I7" s="10" t="s">
        <v>23</v>
      </c>
      <c r="J7" s="9">
        <v>4</v>
      </c>
      <c r="K7" s="9"/>
    </row>
    <row r="8" spans="1:11">
      <c r="A8" s="2"/>
      <c r="B8" s="7">
        <f t="shared" si="0"/>
        <v>6</v>
      </c>
      <c r="C8" s="11" t="s">
        <v>37</v>
      </c>
      <c r="D8" s="12" t="s">
        <v>38</v>
      </c>
      <c r="E8" s="13" t="s">
        <v>39</v>
      </c>
      <c r="F8" s="12" t="s">
        <v>40</v>
      </c>
      <c r="G8" s="13" t="s">
        <v>41</v>
      </c>
      <c r="H8" s="12" t="s">
        <v>42</v>
      </c>
      <c r="I8" s="13" t="s">
        <v>23</v>
      </c>
      <c r="J8" s="12">
        <v>4</v>
      </c>
      <c r="K8" s="12"/>
    </row>
    <row r="9" spans="1:11">
      <c r="A9" s="2"/>
      <c r="B9" s="7">
        <f t="shared" si="0"/>
        <v>7</v>
      </c>
      <c r="C9" s="8" t="s">
        <v>43</v>
      </c>
      <c r="D9" s="9" t="s">
        <v>44</v>
      </c>
      <c r="E9" s="10" t="s">
        <v>45</v>
      </c>
      <c r="F9" s="9" t="s">
        <v>46</v>
      </c>
      <c r="G9" s="10" t="s">
        <v>56</v>
      </c>
      <c r="H9" s="9" t="s">
        <v>57</v>
      </c>
      <c r="I9" s="10" t="s">
        <v>47</v>
      </c>
      <c r="J9" s="9">
        <v>4</v>
      </c>
      <c r="K9" s="9"/>
    </row>
    <row r="10" spans="1:11">
      <c r="A10" s="2"/>
      <c r="B10" s="7">
        <f t="shared" si="0"/>
        <v>8</v>
      </c>
      <c r="C10" s="11" t="s">
        <v>48</v>
      </c>
      <c r="D10" s="12" t="s">
        <v>49</v>
      </c>
      <c r="E10" s="13" t="s">
        <v>50</v>
      </c>
      <c r="F10" s="12" t="s">
        <v>51</v>
      </c>
      <c r="G10" s="13" t="s">
        <v>52</v>
      </c>
      <c r="H10" s="12" t="s">
        <v>53</v>
      </c>
      <c r="I10" s="13" t="s">
        <v>23</v>
      </c>
      <c r="J10" s="12">
        <v>1</v>
      </c>
      <c r="K10" s="12"/>
    </row>
  </sheetData>
  <mergeCells count="1">
    <mergeCell ref="I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2024-06-11T13:59:31Z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9C3BECDCB9C04EFF88DD5054383BC9CB_12</vt:lpwstr>
  </property>
  <property fmtid="{D5CDD505-2E9C-101B-9397-08002B2CF9AE}" pid="3" name="KSOProductBuildVer">
    <vt:lpwstr>1033-12.2.0.17119</vt:lpwstr>
  </property>
</Properties>
</file>